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tium\linhkien\"/>
    </mc:Choice>
  </mc:AlternateContent>
  <xr:revisionPtr revIDLastSave="0" documentId="13_ncr:1_{5E74B497-B335-4138-BEA7-BE7CF7F93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<sst xmlns="http://schemas.openxmlformats.org/spreadsheetml/2006/main" count="102" uniqueCount="92">
  <si>
    <t>STT</t>
  </si>
  <si>
    <t>Tên thiết bị</t>
  </si>
  <si>
    <t>Số lượng</t>
  </si>
  <si>
    <t>Mã thiết bị</t>
  </si>
  <si>
    <t>Link sản phẩm</t>
  </si>
  <si>
    <t>Công dụng</t>
  </si>
  <si>
    <t>Giá tham khảo (VNĐ)</t>
  </si>
  <si>
    <t>KWS-AC301 Đồng Hồ Đa Năng 100A RS485 (AC50–300V)</t>
  </si>
  <si>
    <t>XY-K485 Module Chuyển Đổi TTL to RS485 (Auto Direction)</t>
  </si>
  <si>
    <t>Mạch Đọc Thẻ Nhớ Micro SD Mini SPI (3.3V)</t>
  </si>
  <si>
    <t>Ăng ten 2.4GHz SMA đực + cáp IPEX 10cm</t>
  </si>
  <si>
    <t>Transistor NPN S8050 TO-92</t>
  </si>
  <si>
    <t>Cầu chì tự phục hồi PTC 250V 0.5A (AC In)</t>
  </si>
  <si>
    <t>Domino 2P 5.08mm (nguồn AC L/N)</t>
  </si>
  <si>
    <t>Domino 3P 5.08mm (RS485 A/B/GND)</t>
  </si>
  <si>
    <t>Header JST-XH 2 chân thẳng (JBTN)</t>
  </si>
  <si>
    <t>Header JST-XH 6 chân cong (JLED)</t>
  </si>
  <si>
    <t>Tụ gốm 0.1µF/50V 1206 (decoupling chung)</t>
  </si>
  <si>
    <t>Tụ hoá 470µF/16V xuyên lỗ 8×12.5mm</t>
  </si>
  <si>
    <t>ESP32C3-SuperMini</t>
  </si>
  <si>
    <t>KWS-AC301L</t>
  </si>
  <si>
    <t>XY-K485</t>
  </si>
  <si>
    <t>SD-Mini-SPI</t>
  </si>
  <si>
    <t>ANT24-3dBi-SMA</t>
  </si>
  <si>
    <t>NXD-215-Red-6V</t>
  </si>
  <si>
    <t>NXD-215-Green-6V</t>
  </si>
  <si>
    <t>NXD-215-Yellow-6V</t>
  </si>
  <si>
    <t>S8050-TO92</t>
  </si>
  <si>
    <t>PTC-250V-0.5A</t>
  </si>
  <si>
    <t>KF142-5.08-2-R</t>
  </si>
  <si>
    <t>KF142-5.08-3-R</t>
  </si>
  <si>
    <t>XH2-Header</t>
  </si>
  <si>
    <t>XH6-Header-RA</t>
  </si>
  <si>
    <t>MLCC-100nF-50V</t>
  </si>
  <si>
    <t>ELEC-470uF-16V</t>
  </si>
  <si>
    <t>https://www.thegioiic.com/kws-ac301-dong-ho-do-da-nang-100a-giao-tiep-rs485</t>
  </si>
  <si>
    <t>https://www.thegioiic.com/xy-k485-module-chuyen-doi-ttl-to-rs485</t>
  </si>
  <si>
    <t>https://www.thegioiic.com/ang-ten-wifi-2-4ghz-3dbi-dau-sma-duc-kem-cap-rf-ipex-10cm</t>
  </si>
  <si>
    <t>https://www.thegioiic.com/s8050-d-transistor-npn-25v-1-5a-3-chan-to-92</t>
  </si>
  <si>
    <t>https://www.thegioiic.com/kf142-5-08-2-r-terminal-block-2-tiep-diem-cam-day-ngang-5-08mm-250v-10a</t>
  </si>
  <si>
    <t>https://www.thegioiic.com/kf142-5-08-3-r-terminal-block-3-tiep-diem-cam-day-ngang-5-08mm-250v-10a</t>
  </si>
  <si>
    <t>https://www.thegioiic.com/dau-xh2-54mm-2-chan-thang-xuyen-lo</t>
  </si>
  <si>
    <t>https://www.thegioiic.com/dau-xh2-54mm-6-chan-cong-xuyen-lo</t>
  </si>
  <si>
    <t>https://www.thegioiic.com/tu-gom-1206-100nf-0-1uf-50v</t>
  </si>
  <si>
    <t>https://www.thegioiic.com/tu-hoa-470uf-16v-8x12-5mm-xuyen-lo</t>
  </si>
  <si>
    <t>Vi điều khiển trung tâm, WiFi; giao tiếp Modbus RTU qua RS485</t>
  </si>
  <si>
    <t>Đồng hồ đo AC 1 pha, giao tiếp Modbus RTU</t>
  </si>
  <si>
    <t>Chuyển đổi UART 3.3V ↔ RS485, có jumper 120Ω; cấp 3.3V</t>
  </si>
  <si>
    <t>Nguồn cách ly 5V/4A cấp toàn mạch</t>
  </si>
  <si>
    <t>Lưu trữ dữ liệu qua SPI, chạy 3.3V</t>
  </si>
  <si>
    <t>Tối ưu thu phát WiFi cho ESP32</t>
  </si>
  <si>
    <t>Nút chức năng gắn panel (dùng pull-up nội ESP32)</t>
  </si>
  <si>
    <t>LED báo trạng thái (có R nội), cấp 5V</t>
  </si>
  <si>
    <t>Điều khiển 3 đèn panel từ GPIO (mỗi LED 1 transistor)</t>
  </si>
  <si>
    <t>Bảo vệ quá dòng phía AC đầu vào HLK</t>
  </si>
  <si>
    <t>Cầu đấu cấp nguồn 220VAC cho HLK</t>
  </si>
  <si>
    <t>Cầu đấu đường truyền RS485</t>
  </si>
  <si>
    <t>Đầu cắm nút nhấn ra panel</t>
  </si>
  <si>
    <t>Đầu cắm 3 đèn panel</t>
  </si>
  <si>
    <t>Lọc cao tần cho ESP32, SD, XY-K485</t>
  </si>
  <si>
    <t>Bulk filter rail 5V sau HLK</t>
  </si>
  <si>
    <t>https://www.thegioiic.com/gr250-500-cau-chi-tu-phuc-hoi-250v-500ma</t>
  </si>
  <si>
    <t>3× R base NPN LED, 1× pull‑up nút DS‑427</t>
  </si>
  <si>
    <t>Chia áp RO (XY‑K485→ESP32) nếu RO=5V</t>
  </si>
  <si>
    <t xml:space="preserve">Điện trở 18 kΩ </t>
  </si>
  <si>
    <t>Tụ X2 0.22 µF / 275VAC</t>
  </si>
  <si>
    <t>Lọc nhiễu vi sai AC L‑N trước HLK‑5M05</t>
  </si>
  <si>
    <t>https://www.thegioiic.com/tu-keo-vang-x2-220nf-224k-275vac</t>
  </si>
  <si>
    <t>https://www.thegioiic.com/dien-tro-10-kohm-1-4w-1-5-vong-mau</t>
  </si>
  <si>
    <t>https://www.thegioiic.com/dien-tro-180-kohm-1-4w-1-5-vong-mau</t>
  </si>
  <si>
    <t xml:space="preserve">Tổng dòng 5V: 505mA  -&gt; 1A </t>
  </si>
  <si>
    <t xml:space="preserve">Tổng công suất từ 5V : 2.53W -&gt; 5W </t>
  </si>
  <si>
    <t>https://www.thegioiic.com/esp32-c3-pro-mini-mach-wifi-bluetooth-2-4ghz</t>
  </si>
  <si>
    <t>ESP32-C3 Pro Mini Module WiFi Bluetooth 2.4GHz</t>
  </si>
  <si>
    <t>https://www.thegioiic.com/nut-nhan-6x6mm-cao-5mm-4-chan-xuyen-lo-chinh-ngang</t>
  </si>
  <si>
    <t>Nút Nhấn 6x6mm Cao 5mm 4 Chân Xuyên Lỗ Chỉnh Ngang</t>
  </si>
  <si>
    <t>https://www.thegioiic.com/led-vang-3mm-sieu-sang-dau-tron-trong-suot-chan-dai</t>
  </si>
  <si>
    <t>https://www.thegioiic.com/led-do-3mm-sieu-sang-dau-tron-trong-suot-chan-dai</t>
  </si>
  <si>
    <t>https://www.thegioiic.com/led-xanh-la-3mm-sieu-sang-dau-tron-trong-suot-chan-dai</t>
  </si>
  <si>
    <t>LED Xanh Lá</t>
  </si>
  <si>
    <t>LED Đỏ</t>
  </si>
  <si>
    <t>LED Vàng</t>
  </si>
  <si>
    <t xml:space="preserve">Điện trở 47 kΩ </t>
  </si>
  <si>
    <t>Diot 1n4007</t>
  </si>
  <si>
    <t>Trụ đỡ chân LED</t>
  </si>
  <si>
    <t>https://www.thegioiic.com/tru-do-led-3mm-cao-10mm</t>
  </si>
  <si>
    <t>https://www.thegioiic.com/mach-doc-the-nho-microsd-giao-tiep-spi</t>
  </si>
  <si>
    <t>HLK-20M03 Chuyển Đổi AC-DC 220→3V 5W Hi-Link</t>
  </si>
  <si>
    <t>HLK-20M03</t>
  </si>
  <si>
    <t>https://www.thegioiic.com/hlk-5m03-chuyen-doi-ac-dc-220-3-3v-5w-hi-link</t>
  </si>
  <si>
    <t>https://www.thegioiic.com/dien-tro-220-ohm-1-4w-5-4-vong-mau</t>
  </si>
  <si>
    <t xml:space="preserve">Điện trở 220Ω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</si>
</sst>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111827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1" applyFont="1" applyAlignment="1" applyProtection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led-vang-3mm-sieu-sang-dau-tron-trong-suot-chan-dai" TargetMode="External"/><Relationship Id="rId13" Type="http://schemas.openxmlformats.org/officeDocument/2006/relationships/hyperlink" Target="https://www.thegioiic.com/dau-xh2-54mm-2-chan-thang-xuyen-lo" TargetMode="External"/><Relationship Id="rId18" Type="http://schemas.openxmlformats.org/officeDocument/2006/relationships/hyperlink" Target="https://www.thegioiic.com/dien-tro-180-kohm-1-4w-1-5-vong-mau" TargetMode="External"/><Relationship Id="rId3" Type="http://schemas.openxmlformats.org/officeDocument/2006/relationships/hyperlink" Target="https://www.thegioiic.com/xy-k485-module-chuyen-doi-ttl-to-rs485" TargetMode="External"/><Relationship Id="rId7" Type="http://schemas.openxmlformats.org/officeDocument/2006/relationships/hyperlink" Target="https://www.thegioiic.com/nut-nhan-6x6mm-cao-5mm-4-chan-xuyen-lo-chinh-ngang" TargetMode="External"/><Relationship Id="rId12" Type="http://schemas.openxmlformats.org/officeDocument/2006/relationships/hyperlink" Target="https://www.thegioiic.com/kf142-5-08-3-r-terminal-block-3-tiep-diem-cam-day-ngang-5-08mm-250v-10a" TargetMode="External"/><Relationship Id="rId17" Type="http://schemas.openxmlformats.org/officeDocument/2006/relationships/hyperlink" Target="https://www.thegioiic.com/tu-keo-vang-x2-220nf-224k-275vac" TargetMode="External"/><Relationship Id="rId2" Type="http://schemas.openxmlformats.org/officeDocument/2006/relationships/hyperlink" Target="https://www.thegioiic.com/kws-ac301-dong-ho-do-da-nang-100a-giao-tiep-rs485" TargetMode="External"/><Relationship Id="rId16" Type="http://schemas.openxmlformats.org/officeDocument/2006/relationships/hyperlink" Target="https://www.thegioiic.com/tu-hoa-470uf-16v-8x12-5mm-xuyen-lo" TargetMode="External"/><Relationship Id="rId20" Type="http://schemas.openxmlformats.org/officeDocument/2006/relationships/hyperlink" Target="https://www.thegioiic.com/dien-tro-220-ohm-1-4w-5-4-vong-mau" TargetMode="External"/><Relationship Id="rId1" Type="http://schemas.openxmlformats.org/officeDocument/2006/relationships/hyperlink" Target="https://www.thegioiic.com/esp32-c3-pro-mini-mach-wifi-bluetooth-2-4ghz" TargetMode="External"/><Relationship Id="rId6" Type="http://schemas.openxmlformats.org/officeDocument/2006/relationships/hyperlink" Target="https://www.thegioiic.com/ang-ten-wifi-2-4ghz-3dbi-dau-sma-duc-kem-cap-rf-ipex-10cm" TargetMode="External"/><Relationship Id="rId11" Type="http://schemas.openxmlformats.org/officeDocument/2006/relationships/hyperlink" Target="https://www.thegioiic.com/kf142-5-08-2-r-terminal-block-2-tiep-diem-cam-day-ngang-5-08mm-250v-10a" TargetMode="External"/><Relationship Id="rId5" Type="http://schemas.openxmlformats.org/officeDocument/2006/relationships/hyperlink" Target="https://www.thegioiic.com/mach-doc-the-nho-microsd-giao-tiep-spi" TargetMode="External"/><Relationship Id="rId15" Type="http://schemas.openxmlformats.org/officeDocument/2006/relationships/hyperlink" Target="https://www.thegioiic.com/tu-gom-1206-100nf-0-1uf-50v" TargetMode="External"/><Relationship Id="rId10" Type="http://schemas.openxmlformats.org/officeDocument/2006/relationships/hyperlink" Target="https://www.thegioiic.com/gr250-500-cau-chi-tu-phuc-hoi-250v-500ma" TargetMode="External"/><Relationship Id="rId19" Type="http://schemas.openxmlformats.org/officeDocument/2006/relationships/hyperlink" Target="https://www.thegioiic.com/dien-tro-10-kohm-1-4w-1-5-vong-mau" TargetMode="External"/><Relationship Id="rId4" Type="http://schemas.openxmlformats.org/officeDocument/2006/relationships/hyperlink" Target="https://www.thegioiic.com/hlk-5m03-chuyen-doi-ac-dc-220-3-3v-5w-hi-link" TargetMode="External"/><Relationship Id="rId9" Type="http://schemas.openxmlformats.org/officeDocument/2006/relationships/hyperlink" Target="https://www.thegioiic.com/s8050-d-transistor-npn-25v-1-5a-3-chan-to-92" TargetMode="External"/><Relationship Id="rId14" Type="http://schemas.openxmlformats.org/officeDocument/2006/relationships/hyperlink" Target="https://www.thegioiic.com/dau-xh2-54mm-6-chan-cong-xuyen-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26" sqref="A26:E26"/>
    </sheetView>
  </sheetViews>
  <sheetFormatPr defaultRowHeight="14.4" x14ac:dyDescent="0.3"/>
  <cols>
    <col min="2" max="2" width="41.77734375" customWidth="1"/>
    <col min="5" max="5" width="60.5546875" customWidth="1"/>
    <col min="6" max="6" width="38.77734375" customWidth="1"/>
    <col min="7" max="7" width="21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>
        <v>1</v>
      </c>
      <c r="B2" s="4" t="s">
        <v>73</v>
      </c>
      <c r="C2" s="4">
        <v>1</v>
      </c>
      <c r="D2" s="4" t="s">
        <v>19</v>
      </c>
      <c r="E2" s="1" t="s">
        <v>72</v>
      </c>
      <c r="F2" s="4" t="s">
        <v>45</v>
      </c>
      <c r="G2" s="4">
        <v>62000</v>
      </c>
    </row>
    <row r="3" spans="1:7" x14ac:dyDescent="0.3">
      <c r="A3" s="4">
        <v>2</v>
      </c>
      <c r="B3" s="4" t="s">
        <v>7</v>
      </c>
      <c r="C3" s="4">
        <v>1</v>
      </c>
      <c r="D3" s="4" t="s">
        <v>20</v>
      </c>
      <c r="E3" s="5" t="s">
        <v>35</v>
      </c>
      <c r="F3" s="4" t="s">
        <v>46</v>
      </c>
      <c r="G3" s="4">
        <v>340000</v>
      </c>
    </row>
    <row r="4" spans="1:7" x14ac:dyDescent="0.3">
      <c r="A4" s="4">
        <v>3</v>
      </c>
      <c r="B4" s="4" t="s">
        <v>8</v>
      </c>
      <c r="C4" s="4">
        <v>1</v>
      </c>
      <c r="D4" s="4" t="s">
        <v>21</v>
      </c>
      <c r="E4" s="5" t="s">
        <v>36</v>
      </c>
      <c r="F4" s="4" t="s">
        <v>47</v>
      </c>
      <c r="G4" s="4">
        <v>26000</v>
      </c>
    </row>
    <row r="5" spans="1:7" x14ac:dyDescent="0.3">
      <c r="A5" s="4">
        <v>4</v>
      </c>
      <c r="B5" s="4" t="s">
        <v>87</v>
      </c>
      <c r="C5" s="4">
        <v>1</v>
      </c>
      <c r="D5" s="4" t="s">
        <v>88</v>
      </c>
      <c r="E5" s="1" t="s">
        <v>89</v>
      </c>
      <c r="F5" s="4" t="s">
        <v>48</v>
      </c>
      <c r="G5" s="4">
        <v>61000</v>
      </c>
    </row>
    <row r="6" spans="1:7" x14ac:dyDescent="0.3">
      <c r="A6" s="4">
        <v>5</v>
      </c>
      <c r="B6" s="4" t="s">
        <v>9</v>
      </c>
      <c r="C6" s="4">
        <v>1</v>
      </c>
      <c r="D6" s="4" t="s">
        <v>22</v>
      </c>
      <c r="E6" s="1" t="s">
        <v>86</v>
      </c>
      <c r="F6" s="4" t="s">
        <v>49</v>
      </c>
      <c r="G6" s="4">
        <v>6500</v>
      </c>
    </row>
    <row r="7" spans="1:7" x14ac:dyDescent="0.3">
      <c r="A7" s="4">
        <v>6</v>
      </c>
      <c r="B7" s="4" t="s">
        <v>10</v>
      </c>
      <c r="C7" s="4">
        <v>1</v>
      </c>
      <c r="D7" s="4" t="s">
        <v>23</v>
      </c>
      <c r="E7" s="5" t="s">
        <v>37</v>
      </c>
      <c r="F7" s="4" t="s">
        <v>50</v>
      </c>
      <c r="G7" s="2">
        <v>22.47</v>
      </c>
    </row>
    <row r="8" spans="1:7" x14ac:dyDescent="0.3">
      <c r="A8" s="4">
        <v>7</v>
      </c>
      <c r="B8" s="4" t="s">
        <v>75</v>
      </c>
      <c r="C8" s="4">
        <v>1</v>
      </c>
      <c r="D8" s="4"/>
      <c r="E8" s="1" t="s">
        <v>74</v>
      </c>
      <c r="F8" s="4" t="s">
        <v>51</v>
      </c>
      <c r="G8" s="4">
        <v>8000</v>
      </c>
    </row>
    <row r="9" spans="1:7" x14ac:dyDescent="0.3">
      <c r="A9" s="4">
        <v>8</v>
      </c>
      <c r="B9" s="4" t="s">
        <v>80</v>
      </c>
      <c r="C9" s="4">
        <v>1</v>
      </c>
      <c r="D9" s="4" t="s">
        <v>24</v>
      </c>
      <c r="E9" s="5" t="s">
        <v>77</v>
      </c>
      <c r="F9" s="4" t="s">
        <v>52</v>
      </c>
      <c r="G9" s="4">
        <v>4000</v>
      </c>
    </row>
    <row r="10" spans="1:7" x14ac:dyDescent="0.3">
      <c r="A10" s="4">
        <v>9</v>
      </c>
      <c r="B10" s="4" t="s">
        <v>79</v>
      </c>
      <c r="C10" s="4">
        <v>1</v>
      </c>
      <c r="D10" s="4" t="s">
        <v>25</v>
      </c>
      <c r="E10" s="5" t="s">
        <v>78</v>
      </c>
      <c r="F10" s="4" t="s">
        <v>52</v>
      </c>
      <c r="G10" s="4">
        <v>4000</v>
      </c>
    </row>
    <row r="11" spans="1:7" x14ac:dyDescent="0.3">
      <c r="A11" s="4">
        <v>10</v>
      </c>
      <c r="B11" s="4" t="s">
        <v>81</v>
      </c>
      <c r="C11" s="4">
        <v>1</v>
      </c>
      <c r="D11" s="4" t="s">
        <v>26</v>
      </c>
      <c r="E11" s="1" t="s">
        <v>76</v>
      </c>
      <c r="F11" s="4" t="s">
        <v>52</v>
      </c>
      <c r="G11" s="4">
        <v>4000</v>
      </c>
    </row>
    <row r="12" spans="1:7" x14ac:dyDescent="0.3">
      <c r="A12" s="4">
        <v>11</v>
      </c>
      <c r="B12" s="4" t="s">
        <v>11</v>
      </c>
      <c r="C12" s="4">
        <v>3</v>
      </c>
      <c r="D12" s="4" t="s">
        <v>27</v>
      </c>
      <c r="E12" s="5" t="s">
        <v>38</v>
      </c>
      <c r="F12" s="4" t="s">
        <v>53</v>
      </c>
      <c r="G12" s="4">
        <v>1000</v>
      </c>
    </row>
    <row r="13" spans="1:7" x14ac:dyDescent="0.3">
      <c r="A13" s="4">
        <v>12</v>
      </c>
      <c r="B13" s="4" t="s">
        <v>12</v>
      </c>
      <c r="C13" s="4">
        <v>1</v>
      </c>
      <c r="D13" s="4" t="s">
        <v>28</v>
      </c>
      <c r="E13" s="1" t="s">
        <v>61</v>
      </c>
      <c r="F13" s="4" t="s">
        <v>54</v>
      </c>
      <c r="G13" s="4">
        <v>2000</v>
      </c>
    </row>
    <row r="14" spans="1:7" x14ac:dyDescent="0.3">
      <c r="A14" s="4">
        <v>13</v>
      </c>
      <c r="B14" s="4" t="s">
        <v>13</v>
      </c>
      <c r="C14" s="4">
        <v>1</v>
      </c>
      <c r="D14" s="4" t="s">
        <v>29</v>
      </c>
      <c r="E14" s="5" t="s">
        <v>39</v>
      </c>
      <c r="F14" s="4" t="s">
        <v>55</v>
      </c>
      <c r="G14" s="4">
        <v>2000</v>
      </c>
    </row>
    <row r="15" spans="1:7" x14ac:dyDescent="0.3">
      <c r="A15" s="4">
        <v>14</v>
      </c>
      <c r="B15" s="4" t="s">
        <v>14</v>
      </c>
      <c r="C15" s="4">
        <v>1</v>
      </c>
      <c r="D15" s="4" t="s">
        <v>30</v>
      </c>
      <c r="E15" s="5" t="s">
        <v>40</v>
      </c>
      <c r="F15" s="4" t="s">
        <v>56</v>
      </c>
      <c r="G15" s="4">
        <v>3000</v>
      </c>
    </row>
    <row r="16" spans="1:7" x14ac:dyDescent="0.3">
      <c r="A16" s="4">
        <v>15</v>
      </c>
      <c r="B16" s="4" t="s">
        <v>15</v>
      </c>
      <c r="C16" s="4">
        <v>1</v>
      </c>
      <c r="D16" s="4" t="s">
        <v>31</v>
      </c>
      <c r="E16" s="5" t="s">
        <v>41</v>
      </c>
      <c r="F16" s="4" t="s">
        <v>57</v>
      </c>
      <c r="G16" s="4">
        <v>1000</v>
      </c>
    </row>
    <row r="17" spans="1:7" x14ac:dyDescent="0.3">
      <c r="A17" s="4">
        <v>16</v>
      </c>
      <c r="B17" s="4" t="s">
        <v>16</v>
      </c>
      <c r="C17" s="4">
        <v>1</v>
      </c>
      <c r="D17" s="4" t="s">
        <v>32</v>
      </c>
      <c r="E17" s="5" t="s">
        <v>42</v>
      </c>
      <c r="F17" s="4" t="s">
        <v>58</v>
      </c>
      <c r="G17" s="4">
        <v>2000</v>
      </c>
    </row>
    <row r="18" spans="1:7" x14ac:dyDescent="0.3">
      <c r="A18" s="4">
        <v>17</v>
      </c>
      <c r="B18" s="4" t="s">
        <v>17</v>
      </c>
      <c r="C18" s="4">
        <v>6</v>
      </c>
      <c r="D18" s="4" t="s">
        <v>33</v>
      </c>
      <c r="E18" s="5" t="s">
        <v>43</v>
      </c>
      <c r="F18" s="4" t="s">
        <v>59</v>
      </c>
      <c r="G18" s="4">
        <v>500</v>
      </c>
    </row>
    <row r="19" spans="1:7" x14ac:dyDescent="0.3">
      <c r="A19" s="4">
        <v>18</v>
      </c>
      <c r="B19" s="4" t="s">
        <v>18</v>
      </c>
      <c r="C19" s="4">
        <v>1</v>
      </c>
      <c r="D19" s="4" t="s">
        <v>34</v>
      </c>
      <c r="E19" s="5" t="s">
        <v>44</v>
      </c>
      <c r="F19" s="4" t="s">
        <v>60</v>
      </c>
      <c r="G19" s="4">
        <v>4000</v>
      </c>
    </row>
    <row r="20" spans="1:7" x14ac:dyDescent="0.3">
      <c r="A20" s="4">
        <v>19</v>
      </c>
      <c r="B20" t="s">
        <v>82</v>
      </c>
      <c r="C20">
        <v>4</v>
      </c>
      <c r="E20" s="1" t="s">
        <v>68</v>
      </c>
      <c r="F20" t="s">
        <v>62</v>
      </c>
    </row>
    <row r="21" spans="1:7" x14ac:dyDescent="0.3">
      <c r="A21" s="4">
        <v>20</v>
      </c>
      <c r="B21" t="s">
        <v>64</v>
      </c>
      <c r="C21">
        <v>1</v>
      </c>
      <c r="E21" s="1" t="s">
        <v>69</v>
      </c>
      <c r="F21" t="s">
        <v>63</v>
      </c>
    </row>
    <row r="22" spans="1:7" x14ac:dyDescent="0.3">
      <c r="A22" s="4">
        <v>21</v>
      </c>
      <c r="B22" t="s">
        <v>91</v>
      </c>
      <c r="C22" s="4">
        <v>3</v>
      </c>
      <c r="E22" s="1" t="s">
        <v>90</v>
      </c>
    </row>
    <row r="23" spans="1:7" x14ac:dyDescent="0.3">
      <c r="A23" s="4">
        <v>22</v>
      </c>
      <c r="B23" t="s">
        <v>65</v>
      </c>
      <c r="C23">
        <v>1</v>
      </c>
      <c r="E23" s="1" t="s">
        <v>67</v>
      </c>
      <c r="F23" t="s">
        <v>66</v>
      </c>
      <c r="G23" s="4">
        <v>2000</v>
      </c>
    </row>
    <row r="24" spans="1:7" x14ac:dyDescent="0.3">
      <c r="A24" s="4">
        <v>23</v>
      </c>
      <c r="B24" t="s">
        <v>84</v>
      </c>
      <c r="C24">
        <v>3</v>
      </c>
      <c r="E24" s="1" t="s">
        <v>85</v>
      </c>
      <c r="G24" s="4"/>
    </row>
    <row r="25" spans="1:7" x14ac:dyDescent="0.3">
      <c r="A25" s="6" t="s">
        <v>71</v>
      </c>
      <c r="B25" s="6"/>
      <c r="C25" s="6"/>
      <c r="D25" s="6"/>
      <c r="E25" s="6"/>
      <c r="G25">
        <f>SUM(G1:G23)</f>
        <v>533022.47</v>
      </c>
    </row>
    <row r="26" spans="1:7" x14ac:dyDescent="0.3">
      <c r="A26" s="6" t="s">
        <v>70</v>
      </c>
      <c r="B26" s="6"/>
      <c r="C26" s="6"/>
      <c r="D26" s="6"/>
      <c r="E26" s="6"/>
    </row>
  </sheetData>
  <mergeCells count="2">
    <mergeCell ref="A25:E25"/>
    <mergeCell ref="A26:E26"/>
  </mergeCell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11" r:id="rId8" xr:uid="{00000000-0004-0000-0000-000009000000}"/>
    <hyperlink ref="E12" r:id="rId9" xr:uid="{00000000-0004-0000-0000-00000A000000}"/>
    <hyperlink ref="E13" r:id="rId10" xr:uid="{00000000-0004-0000-0000-00000B000000}"/>
    <hyperlink ref="E14" r:id="rId11" xr:uid="{00000000-0004-0000-0000-00000C000000}"/>
    <hyperlink ref="E15" r:id="rId12" xr:uid="{00000000-0004-0000-0000-00000D000000}"/>
    <hyperlink ref="E16" r:id="rId13" xr:uid="{00000000-0004-0000-0000-00000E000000}"/>
    <hyperlink ref="E17" r:id="rId14" xr:uid="{00000000-0004-0000-0000-00000F000000}"/>
    <hyperlink ref="E18" r:id="rId15" xr:uid="{00000000-0004-0000-0000-000013000000}"/>
    <hyperlink ref="E19" r:id="rId16" xr:uid="{00000000-0004-0000-0000-000015000000}"/>
    <hyperlink ref="E23" r:id="rId17" xr:uid="{41381BDB-5950-4C80-BA09-11345E95557C}"/>
    <hyperlink ref="E21" r:id="rId18" xr:uid="{4AA8B2E8-AA4C-45F1-A75C-0B38481BBB92}"/>
    <hyperlink ref="E20" r:id="rId19" xr:uid="{66AD1C34-B34B-4AB3-8A86-EDFA008EB5F6}"/>
    <hyperlink ref="E22" r:id="rId20" xr:uid="{DE553C92-223A-473A-A571-29F5ED4EC2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Chúc</dc:creator>
  <cp:lastModifiedBy>Chúc Hoài Nam</cp:lastModifiedBy>
  <dcterms:created xsi:type="dcterms:W3CDTF">2025-10-27T06:35:00Z</dcterms:created>
  <dcterms:modified xsi:type="dcterms:W3CDTF">2025-11-04T02:13:12Z</dcterms:modified>
</cp:coreProperties>
</file>